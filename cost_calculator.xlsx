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اسبة التكاليف" sheetId="1" state="visible" r:id="rId1"/>
    <sheet xmlns:r="http://schemas.openxmlformats.org/officeDocument/2006/relationships" name="ربط بريد ad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A4B0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1"/>
    </font>
    <font>
      <name val="Arial"/>
      <b val="1"/>
      <color rgb="00000000"/>
      <sz val="11"/>
    </font>
    <font>
      <name val="Arial"/>
      <b val="1"/>
      <sz val="10"/>
    </font>
    <font>
      <name val="Arial"/>
      <b val="1"/>
      <color rgb="001E7145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9" fillId="4" borderId="0" applyAlignment="1" pivotButton="0" quotePrefix="0" xfId="0">
      <alignment horizontal="right"/>
    </xf>
    <xf numFmtId="0" fontId="4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5" customWidth="1" min="4" max="4"/>
    <col width="15" customWidth="1" min="5" max="5"/>
    <col width="10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حاسبة تكاليف الاشتراكات — admin@zyiarah.com</t>
        </is>
      </c>
    </row>
    <row r="2">
      <c r="A2" s="2" t="inlineStr">
        <is>
          <t>غيّر عمود «مُفعّل؟» إلى Yes لأي خدمة تدفع لها، وعدّل السعر إن لزم. المجاميع تُحسب تلقائيًا. سعر الصرف قابل للتعديل في الأسفل.</t>
        </is>
      </c>
    </row>
    <row r="4">
      <c r="A4" s="3" t="inlineStr">
        <is>
          <t>الخدمة</t>
        </is>
      </c>
      <c r="B4" s="3" t="inlineStr">
        <is>
          <t>الفئة</t>
        </is>
      </c>
      <c r="C4" s="3" t="inlineStr">
        <is>
          <t>الخطة</t>
        </is>
      </c>
      <c r="D4" s="3" t="inlineStr">
        <is>
          <t>سعر شهري (USD)</t>
        </is>
      </c>
      <c r="E4" s="3" t="inlineStr">
        <is>
          <t>سعر سنوي (USD)</t>
        </is>
      </c>
      <c r="F4" s="3" t="inlineStr">
        <is>
          <t>مُفعّل؟</t>
        </is>
      </c>
      <c r="G4" s="3" t="inlineStr">
        <is>
          <t>الكمية/المقاعد</t>
        </is>
      </c>
      <c r="H4" s="3" t="inlineStr">
        <is>
          <t>التكلفة الشهرية (USD)</t>
        </is>
      </c>
      <c r="I4" s="3" t="inlineStr">
        <is>
          <t>التكلفة السنوية (USD)</t>
        </is>
      </c>
    </row>
    <row r="5">
      <c r="A5" s="4" t="inlineStr">
        <is>
          <t>Claude (Anthropic)</t>
        </is>
      </c>
      <c r="B5" s="4" t="inlineStr">
        <is>
          <t>ذكاء اصطناعي</t>
        </is>
      </c>
      <c r="C5" s="4" t="inlineStr">
        <is>
          <t>Pro</t>
        </is>
      </c>
      <c r="D5" s="4" t="n">
        <v>20</v>
      </c>
      <c r="E5" s="4" t="n">
        <v>204</v>
      </c>
      <c r="F5" s="5" t="inlineStr">
        <is>
          <t>No</t>
        </is>
      </c>
      <c r="G5" s="4" t="n">
        <v>1</v>
      </c>
      <c r="H5" s="4">
        <f>IF(F5="Yes",D5*G5,0)</f>
        <v/>
      </c>
      <c r="I5" s="4">
        <f>IF(F5="Yes",E5*G5,0)</f>
        <v/>
      </c>
    </row>
    <row r="6">
      <c r="A6" s="4" t="inlineStr">
        <is>
          <t>Gemini / Google AI</t>
        </is>
      </c>
      <c r="B6" s="4" t="inlineStr">
        <is>
          <t>ذكاء اصطناعي</t>
        </is>
      </c>
      <c r="C6" s="4" t="inlineStr">
        <is>
          <t>AI Pro</t>
        </is>
      </c>
      <c r="D6" s="4" t="n">
        <v>19.99</v>
      </c>
      <c r="E6" s="4" t="n">
        <v>239.88</v>
      </c>
      <c r="F6" s="5" t="inlineStr">
        <is>
          <t>No</t>
        </is>
      </c>
      <c r="G6" s="4" t="n">
        <v>1</v>
      </c>
      <c r="H6" s="4">
        <f>IF(F6="Yes",D6*G6,0)</f>
        <v/>
      </c>
      <c r="I6" s="4">
        <f>IF(F6="Yes",E6*G6,0)</f>
        <v/>
      </c>
    </row>
    <row r="7">
      <c r="A7" s="4" t="inlineStr">
        <is>
          <t>Perplexity AI</t>
        </is>
      </c>
      <c r="B7" s="4" t="inlineStr">
        <is>
          <t>ذكاء اصطناعي</t>
        </is>
      </c>
      <c r="C7" s="4" t="inlineStr">
        <is>
          <t>Pro</t>
        </is>
      </c>
      <c r="D7" s="4" t="n">
        <v>20</v>
      </c>
      <c r="E7" s="4" t="n">
        <v>200</v>
      </c>
      <c r="F7" s="5" t="inlineStr">
        <is>
          <t>No</t>
        </is>
      </c>
      <c r="G7" s="4" t="n">
        <v>1</v>
      </c>
      <c r="H7" s="4">
        <f>IF(F7="Yes",D7*G7,0)</f>
        <v/>
      </c>
      <c r="I7" s="4">
        <f>IF(F7="Yes",E7*G7,0)</f>
        <v/>
      </c>
    </row>
    <row r="8">
      <c r="A8" s="4" t="inlineStr">
        <is>
          <t>xAI (Grok)</t>
        </is>
      </c>
      <c r="B8" s="4" t="inlineStr">
        <is>
          <t>ذكاء اصطناعي</t>
        </is>
      </c>
      <c r="C8" s="4" t="inlineStr">
        <is>
          <t>SuperGrok</t>
        </is>
      </c>
      <c r="D8" s="4" t="n">
        <v>30</v>
      </c>
      <c r="E8" s="4" t="n">
        <v>300</v>
      </c>
      <c r="F8" s="5" t="inlineStr">
        <is>
          <t>No</t>
        </is>
      </c>
      <c r="G8" s="4" t="n">
        <v>1</v>
      </c>
      <c r="H8" s="4">
        <f>IF(F8="Yes",D8*G8,0)</f>
        <v/>
      </c>
      <c r="I8" s="4">
        <f>IF(F8="Yes",E8*G8,0)</f>
        <v/>
      </c>
    </row>
    <row r="9">
      <c r="A9" s="4" t="inlineStr">
        <is>
          <t>ElevenLabs</t>
        </is>
      </c>
      <c r="B9" s="4" t="inlineStr">
        <is>
          <t>وسائط</t>
        </is>
      </c>
      <c r="C9" s="4" t="inlineStr">
        <is>
          <t>Creator</t>
        </is>
      </c>
      <c r="D9" s="4" t="n">
        <v>22</v>
      </c>
      <c r="E9" s="4" t="n">
        <v>220</v>
      </c>
      <c r="F9" s="5" t="inlineStr">
        <is>
          <t>No</t>
        </is>
      </c>
      <c r="G9" s="4" t="n">
        <v>1</v>
      </c>
      <c r="H9" s="4">
        <f>IF(F9="Yes",D9*G9,0)</f>
        <v/>
      </c>
      <c r="I9" s="4">
        <f>IF(F9="Yes",E9*G9,0)</f>
        <v/>
      </c>
    </row>
    <row r="10">
      <c r="A10" s="4" t="inlineStr">
        <is>
          <t>HeyGen</t>
        </is>
      </c>
      <c r="B10" s="4" t="inlineStr">
        <is>
          <t>وسائط</t>
        </is>
      </c>
      <c r="C10" s="4" t="inlineStr">
        <is>
          <t>Creator</t>
        </is>
      </c>
      <c r="D10" s="4" t="n">
        <v>29</v>
      </c>
      <c r="E10" s="4" t="n">
        <v>288</v>
      </c>
      <c r="F10" s="5" t="inlineStr">
        <is>
          <t>No</t>
        </is>
      </c>
      <c r="G10" s="4" t="n">
        <v>1</v>
      </c>
      <c r="H10" s="4">
        <f>IF(F10="Yes",D10*G10,0)</f>
        <v/>
      </c>
      <c r="I10" s="4">
        <f>IF(F10="Yes",E10*G10,0)</f>
        <v/>
      </c>
    </row>
    <row r="11">
      <c r="A11" s="4" t="inlineStr">
        <is>
          <t>Higgsfield AI</t>
        </is>
      </c>
      <c r="B11" s="4" t="inlineStr">
        <is>
          <t>وسائط</t>
        </is>
      </c>
      <c r="C11" s="4" t="inlineStr">
        <is>
          <t>Plus</t>
        </is>
      </c>
      <c r="D11" s="4" t="n">
        <v>39</v>
      </c>
      <c r="E11" s="4" t="n">
        <v>468</v>
      </c>
      <c r="F11" s="5" t="inlineStr">
        <is>
          <t>No</t>
        </is>
      </c>
      <c r="G11" s="4" t="n">
        <v>1</v>
      </c>
      <c r="H11" s="4">
        <f>IF(F11="Yes",D11*G11,0)</f>
        <v/>
      </c>
      <c r="I11" s="4">
        <f>IF(F11="Yes",E11*G11,0)</f>
        <v/>
      </c>
    </row>
    <row r="12">
      <c r="A12" s="4" t="inlineStr">
        <is>
          <t>Wispr Flow</t>
        </is>
      </c>
      <c r="B12" s="4" t="inlineStr">
        <is>
          <t>إنتاجية</t>
        </is>
      </c>
      <c r="C12" s="4" t="inlineStr">
        <is>
          <t>Pro</t>
        </is>
      </c>
      <c r="D12" s="4" t="n">
        <v>15</v>
      </c>
      <c r="E12" s="4" t="n">
        <v>144</v>
      </c>
      <c r="F12" s="5" t="inlineStr">
        <is>
          <t>No</t>
        </is>
      </c>
      <c r="G12" s="4" t="n">
        <v>1</v>
      </c>
      <c r="H12" s="4">
        <f>IF(F12="Yes",D12*G12,0)</f>
        <v/>
      </c>
      <c r="I12" s="4">
        <f>IF(F12="Yes",E12*G12,0)</f>
        <v/>
      </c>
    </row>
    <row r="13">
      <c r="A13" s="4" t="inlineStr">
        <is>
          <t>GitHub</t>
        </is>
      </c>
      <c r="B13" s="4" t="inlineStr">
        <is>
          <t>تطوير</t>
        </is>
      </c>
      <c r="C13" s="4" t="inlineStr">
        <is>
          <t>Pro</t>
        </is>
      </c>
      <c r="D13" s="4" t="n">
        <v>4</v>
      </c>
      <c r="E13" s="4" t="n">
        <v>48</v>
      </c>
      <c r="F13" s="5" t="inlineStr">
        <is>
          <t>No</t>
        </is>
      </c>
      <c r="G13" s="4" t="n">
        <v>1</v>
      </c>
      <c r="H13" s="4">
        <f>IF(F13="Yes",D13*G13,0)</f>
        <v/>
      </c>
      <c r="I13" s="4">
        <f>IF(F13="Yes",E13*G13,0)</f>
        <v/>
      </c>
    </row>
    <row r="14">
      <c r="A14" s="4" t="inlineStr">
        <is>
          <t>Vercel</t>
        </is>
      </c>
      <c r="B14" s="4" t="inlineStr">
        <is>
          <t>استضافة</t>
        </is>
      </c>
      <c r="C14" s="4" t="inlineStr">
        <is>
          <t>Pro</t>
        </is>
      </c>
      <c r="D14" s="4" t="n">
        <v>20</v>
      </c>
      <c r="E14" s="4" t="n">
        <v>240</v>
      </c>
      <c r="F14" s="5" t="inlineStr">
        <is>
          <t>No</t>
        </is>
      </c>
      <c r="G14" s="4" t="n">
        <v>1</v>
      </c>
      <c r="H14" s="4">
        <f>IF(F14="Yes",D14*G14,0)</f>
        <v/>
      </c>
      <c r="I14" s="4">
        <f>IF(F14="Yes",E14*G14,0)</f>
        <v/>
      </c>
    </row>
    <row r="15">
      <c r="A15" s="4" t="inlineStr">
        <is>
          <t>Netlify</t>
        </is>
      </c>
      <c r="B15" s="4" t="inlineStr">
        <is>
          <t>استضافة</t>
        </is>
      </c>
      <c r="C15" s="4" t="inlineStr">
        <is>
          <t>Pro</t>
        </is>
      </c>
      <c r="D15" s="4" t="n">
        <v>20</v>
      </c>
      <c r="E15" s="4" t="n">
        <v>240</v>
      </c>
      <c r="F15" s="5" t="inlineStr">
        <is>
          <t>No</t>
        </is>
      </c>
      <c r="G15" s="4" t="n">
        <v>1</v>
      </c>
      <c r="H15" s="4">
        <f>IF(F15="Yes",D15*G15,0)</f>
        <v/>
      </c>
      <c r="I15" s="4">
        <f>IF(F15="Yes",E15*G15,0)</f>
        <v/>
      </c>
    </row>
    <row r="16">
      <c r="A16" s="4" t="inlineStr">
        <is>
          <t>Cloudflare</t>
        </is>
      </c>
      <c r="B16" s="4" t="inlineStr">
        <is>
          <t>استضافة</t>
        </is>
      </c>
      <c r="C16" s="4" t="inlineStr">
        <is>
          <t>Workers/Pages</t>
        </is>
      </c>
      <c r="D16" s="4" t="n">
        <v>5</v>
      </c>
      <c r="E16" s="4" t="n">
        <v>60</v>
      </c>
      <c r="F16" s="5" t="inlineStr">
        <is>
          <t>No</t>
        </is>
      </c>
      <c r="G16" s="4" t="n">
        <v>1</v>
      </c>
      <c r="H16" s="4">
        <f>IF(F16="Yes",D16*G16,0)</f>
        <v/>
      </c>
      <c r="I16" s="4">
        <f>IF(F16="Yes",E16*G16,0)</f>
        <v/>
      </c>
    </row>
    <row r="17">
      <c r="A17" s="4" t="inlineStr">
        <is>
          <t>Figma</t>
        </is>
      </c>
      <c r="B17" s="4" t="inlineStr">
        <is>
          <t>تصميم</t>
        </is>
      </c>
      <c r="C17" s="4" t="inlineStr">
        <is>
          <t>Professional</t>
        </is>
      </c>
      <c r="D17" s="4" t="n">
        <v>15</v>
      </c>
      <c r="E17" s="4" t="n">
        <v>144</v>
      </c>
      <c r="F17" s="5" t="inlineStr">
        <is>
          <t>No</t>
        </is>
      </c>
      <c r="G17" s="4" t="n">
        <v>1</v>
      </c>
      <c r="H17" s="4">
        <f>IF(F17="Yes",D17*G17,0)</f>
        <v/>
      </c>
      <c r="I17" s="4">
        <f>IF(F17="Yes",E17*G17,0)</f>
        <v/>
      </c>
    </row>
    <row r="18">
      <c r="A18" s="4" t="inlineStr">
        <is>
          <t>Sentry</t>
        </is>
      </c>
      <c r="B18" s="4" t="inlineStr">
        <is>
          <t>تطوير</t>
        </is>
      </c>
      <c r="C18" s="4" t="inlineStr">
        <is>
          <t>Team</t>
        </is>
      </c>
      <c r="D18" s="4" t="n">
        <v>29</v>
      </c>
      <c r="E18" s="4" t="n">
        <v>312</v>
      </c>
      <c r="F18" s="5" t="inlineStr">
        <is>
          <t>No</t>
        </is>
      </c>
      <c r="G18" s="4" t="n">
        <v>1</v>
      </c>
      <c r="H18" s="4">
        <f>IF(F18="Yes",D18*G18,0)</f>
        <v/>
      </c>
      <c r="I18" s="4">
        <f>IF(F18="Yes",E18*G18,0)</f>
        <v/>
      </c>
    </row>
    <row r="19">
      <c r="A19" s="4" t="inlineStr">
        <is>
          <t>Manychat</t>
        </is>
      </c>
      <c r="B19" s="4" t="inlineStr">
        <is>
          <t>تسويق</t>
        </is>
      </c>
      <c r="C19" s="4" t="inlineStr">
        <is>
          <t>Pro</t>
        </is>
      </c>
      <c r="D19" s="4" t="n">
        <v>29</v>
      </c>
      <c r="E19" s="4" t="n">
        <v>348</v>
      </c>
      <c r="F19" s="5" t="inlineStr">
        <is>
          <t>No</t>
        </is>
      </c>
      <c r="G19" s="4" t="n">
        <v>1</v>
      </c>
      <c r="H19" s="4">
        <f>IF(F19="Yes",D19*G19,0)</f>
        <v/>
      </c>
      <c r="I19" s="4">
        <f>IF(F19="Yes",E19*G19,0)</f>
        <v/>
      </c>
    </row>
    <row r="20">
      <c r="A20" s="4" t="inlineStr">
        <is>
          <t>Tally</t>
        </is>
      </c>
      <c r="B20" s="4" t="inlineStr">
        <is>
          <t>نماذج</t>
        </is>
      </c>
      <c r="C20" s="4" t="inlineStr">
        <is>
          <t>Pro</t>
        </is>
      </c>
      <c r="D20" s="4" t="n">
        <v>29</v>
      </c>
      <c r="E20" s="4" t="n">
        <v>288</v>
      </c>
      <c r="F20" s="5" t="inlineStr">
        <is>
          <t>No</t>
        </is>
      </c>
      <c r="G20" s="4" t="n">
        <v>1</v>
      </c>
      <c r="H20" s="4">
        <f>IF(F20="Yes",D20*G20,0)</f>
        <v/>
      </c>
      <c r="I20" s="4">
        <f>IF(F20="Yes",E20*G20,0)</f>
        <v/>
      </c>
    </row>
    <row r="21">
      <c r="A21" s="4" t="inlineStr">
        <is>
          <t>Slack</t>
        </is>
      </c>
      <c r="B21" s="4" t="inlineStr">
        <is>
          <t>تواصل</t>
        </is>
      </c>
      <c r="C21" s="4" t="inlineStr">
        <is>
          <t>Pro</t>
        </is>
      </c>
      <c r="D21" s="4" t="n">
        <v>8.75</v>
      </c>
      <c r="E21" s="4" t="n">
        <v>87</v>
      </c>
      <c r="F21" s="5" t="inlineStr">
        <is>
          <t>No</t>
        </is>
      </c>
      <c r="G21" s="4" t="n">
        <v>1</v>
      </c>
      <c r="H21" s="4">
        <f>IF(F21="Yes",D21*G21,0)</f>
        <v/>
      </c>
      <c r="I21" s="4">
        <f>IF(F21="Yes",E21*G21,0)</f>
        <v/>
      </c>
    </row>
    <row r="22">
      <c r="A22" s="4" t="inlineStr">
        <is>
          <t>Resend</t>
        </is>
      </c>
      <c r="B22" s="4" t="inlineStr">
        <is>
          <t>بريد</t>
        </is>
      </c>
      <c r="C22" s="4" t="inlineStr">
        <is>
          <t>Pro</t>
        </is>
      </c>
      <c r="D22" s="4" t="n">
        <v>20</v>
      </c>
      <c r="E22" s="4" t="n">
        <v>240</v>
      </c>
      <c r="F22" s="5" t="inlineStr">
        <is>
          <t>No</t>
        </is>
      </c>
      <c r="G22" s="4" t="n">
        <v>1</v>
      </c>
      <c r="H22" s="4">
        <f>IF(F22="Yes",D22*G22,0)</f>
        <v/>
      </c>
      <c r="I22" s="4">
        <f>IF(F22="Yes",E22*G22,0)</f>
        <v/>
      </c>
    </row>
    <row r="23">
      <c r="A23" s="4" t="inlineStr">
        <is>
          <t>Apple Developer</t>
        </is>
      </c>
      <c r="B23" s="4" t="inlineStr">
        <is>
          <t>نشر</t>
        </is>
      </c>
      <c r="C23" s="4" t="inlineStr">
        <is>
          <t>Program</t>
        </is>
      </c>
      <c r="D23" s="4" t="n">
        <v>8.25</v>
      </c>
      <c r="E23" s="4" t="n">
        <v>99</v>
      </c>
      <c r="F23" s="5" t="inlineStr">
        <is>
          <t>No</t>
        </is>
      </c>
      <c r="G23" s="4" t="n">
        <v>1</v>
      </c>
      <c r="H23" s="4">
        <f>IF(F23="Yes",D23*G23,0)</f>
        <v/>
      </c>
      <c r="I23" s="4">
        <f>IF(F23="Yes",E23*G23,0)</f>
        <v/>
      </c>
    </row>
    <row r="24">
      <c r="A24" s="4" t="inlineStr">
        <is>
          <t>Mapbox</t>
        </is>
      </c>
      <c r="B24" s="4" t="inlineStr">
        <is>
          <t>خرائط</t>
        </is>
      </c>
      <c r="C24" s="4" t="inlineStr">
        <is>
          <t>حسب الاستخدام</t>
        </is>
      </c>
      <c r="D24" s="4" t="n">
        <v>0</v>
      </c>
      <c r="E24" s="4" t="n">
        <v>0</v>
      </c>
      <c r="F24" s="5" t="inlineStr">
        <is>
          <t>No</t>
        </is>
      </c>
      <c r="G24" s="4" t="n">
        <v>1</v>
      </c>
      <c r="H24" s="4">
        <f>IF(F24="Yes",D24*G24,0)</f>
        <v/>
      </c>
      <c r="I24" s="4">
        <f>IF(F24="Yes",E24*G24,0)</f>
        <v/>
      </c>
    </row>
    <row r="25">
      <c r="A25" s="4" t="inlineStr">
        <is>
          <t>Firebase (Blaze)</t>
        </is>
      </c>
      <c r="B25" s="4" t="inlineStr">
        <is>
          <t>بنية تحتية</t>
        </is>
      </c>
      <c r="C25" s="4" t="inlineStr">
        <is>
          <t>حسب الاستخدام</t>
        </is>
      </c>
      <c r="D25" s="4" t="n">
        <v>0</v>
      </c>
      <c r="E25" s="4" t="n">
        <v>0</v>
      </c>
      <c r="F25" s="5" t="inlineStr">
        <is>
          <t>No</t>
        </is>
      </c>
      <c r="G25" s="4" t="n">
        <v>1</v>
      </c>
      <c r="H25" s="4">
        <f>IF(F25="Yes",D25*G25,0)</f>
        <v/>
      </c>
      <c r="I25" s="4">
        <f>IF(F25="Yes",E25*G25,0)</f>
        <v/>
      </c>
    </row>
    <row r="26">
      <c r="A26" s="4" t="inlineStr">
        <is>
          <t>Moyasar/Tabby/Tamara</t>
        </is>
      </c>
      <c r="B26" s="4" t="inlineStr">
        <is>
          <t>دفع</t>
        </is>
      </c>
      <c r="C26" s="4" t="inlineStr">
        <is>
          <t>رسوم لكل معاملة</t>
        </is>
      </c>
      <c r="D26" s="4" t="n">
        <v>0</v>
      </c>
      <c r="E26" s="4" t="n">
        <v>0</v>
      </c>
      <c r="F26" s="5" t="inlineStr">
        <is>
          <t>No</t>
        </is>
      </c>
      <c r="G26" s="4" t="n">
        <v>1</v>
      </c>
      <c r="H26" s="4">
        <f>IF(F26="Yes",D26*G26,0)</f>
        <v/>
      </c>
      <c r="I26" s="4">
        <f>IF(F26="Yes",E26*G26,0)</f>
        <v/>
      </c>
    </row>
    <row r="28">
      <c r="A28" s="6" t="inlineStr">
        <is>
          <t>الملخص</t>
        </is>
      </c>
      <c r="G28" s="7" t="inlineStr">
        <is>
          <t>إجمالي شهري (USD):</t>
        </is>
      </c>
      <c r="H28" s="7">
        <f>SUM(H5:H26)</f>
        <v/>
      </c>
    </row>
    <row r="29">
      <c r="G29" s="7" t="inlineStr">
        <is>
          <t>إجمالي سنوي (USD):</t>
        </is>
      </c>
      <c r="H29" s="7">
        <f>SUM(I5:I26)</f>
        <v/>
      </c>
    </row>
    <row r="30">
      <c r="G30" s="8" t="inlineStr">
        <is>
          <t>سنوي لو دفعت شهريًا×12 (USD):</t>
        </is>
      </c>
      <c r="H30" s="8">
        <f>SUM(H5:H26)*12</f>
        <v/>
      </c>
    </row>
    <row r="32">
      <c r="G32" s="9" t="inlineStr">
        <is>
          <t>سعر الصرف USD→SAR:</t>
        </is>
      </c>
      <c r="H32" s="10" t="n">
        <v>3.75</v>
      </c>
    </row>
    <row r="33">
      <c r="G33" s="11" t="inlineStr">
        <is>
          <t>إجمالي شهري (SAR):</t>
        </is>
      </c>
      <c r="H33" s="11">
        <f>SUM(H5:H26)*H32</f>
        <v/>
      </c>
    </row>
    <row r="34">
      <c r="G34" s="11" t="inlineStr">
        <is>
          <t>إجمالي سنوي (SAR):</t>
        </is>
      </c>
      <c r="H34" s="11">
        <f>SUM(I5:I26)*H32</f>
        <v/>
      </c>
    </row>
  </sheetData>
  <mergeCells count="2">
    <mergeCell ref="A1:I1"/>
    <mergeCell ref="A2:I2"/>
  </mergeCells>
  <dataValidations count="1">
    <dataValidation sqref="F5:F2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كيف أعرف الاشتراكات الفعلية تحت admin@zyiarah.com؟</t>
        </is>
      </c>
    </row>
    <row r="2">
      <c r="A2" s="12" t="inlineStr"/>
    </row>
    <row r="3">
      <c r="A3" s="12" t="inlineStr">
        <is>
          <t>1) بريد admin@zyiarah.com هو بريد نطاق (Workspace/Zoho) وليس Gmail الشخصي erihdev@gmail.com.</t>
        </is>
      </c>
    </row>
    <row r="4">
      <c r="A4" s="12" t="inlineStr">
        <is>
          <t>2) لِرَبطه: من claude.ai → Settings → Connectors → Gmail، سجّل الدخول بحساب admin@zyiarah.com</t>
        </is>
      </c>
    </row>
    <row r="5">
      <c r="A5" s="12" t="inlineStr">
        <is>
          <t xml:space="preserve">   (أو أضِف حساب Gmail ثانٍ إن كان النطاق على Google Workspace).</t>
        </is>
      </c>
    </row>
    <row r="6">
      <c r="A6" s="12" t="inlineStr">
        <is>
          <t>3) بعد الربط، افتح محادثة جديدة واطلب: «ابحث في بريد admin@zyiarah.com عن كل الفواتير».</t>
        </is>
      </c>
    </row>
    <row r="7">
      <c r="A7" s="12" t="inlineStr">
        <is>
          <t>4) صيغة البحث: invoice OR receipt OR فاتورة OR اشتراك OR "payment received" OR subscription newer_than:2y</t>
        </is>
      </c>
    </row>
    <row r="8">
      <c r="A8" s="12" t="inlineStr">
        <is>
          <t>5) سأملأ ورقة الحاسبة بالخدمات الفعلية وأضبط عمود «مُفعّل؟» = Yes لكل اشتراك حقيقي.</t>
        </is>
      </c>
    </row>
    <row r="9">
      <c r="A9" s="12" t="inlineStr"/>
    </row>
    <row r="10">
      <c r="A10" s="12" t="inlineStr">
        <is>
          <t>ملاحظة: الأسعار الحالية في الحاسبة مرجعية (أدنى خطة معلنة). عدّلها لتطابق فاتورتك الفعلية.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2026-07-14T15:56:24Z</dcterms:created>
  <dcterms:modified xmlns:dcterms="http://purl.org/dc/terms/" xmlns:xsi="http://www.w3.org/2001/XMLSchema-instance" xsi:type="dcterms:W3CDTF">2026-07-14T15:56:24Z</dcterms:modified>
</cp:coreProperties>
</file>