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كل الفواتير" sheetId="1" state="visible" r:id="rId1"/>
    <sheet xmlns:r="http://schemas.openxmlformats.org/officeDocument/2006/relationships" name="التكاليف الشهرية والسنوية" sheetId="2" state="visible" r:id="rId2"/>
    <sheet xmlns:r="http://schemas.openxmlformats.org/officeDocument/2006/relationships" name="ملاحظات ومنهجية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7A4B00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3864"/>
      <sz val="10"/>
    </font>
    <font>
      <name val="Arial"/>
      <color rgb="007A4B00"/>
      <sz val="9"/>
    </font>
    <font>
      <name val="Arial"/>
      <b val="1"/>
      <sz val="9"/>
    </font>
    <font>
      <name val="Arial"/>
      <b val="1"/>
      <sz val="10"/>
    </font>
    <font>
      <name val="Arial"/>
      <b val="1"/>
      <color rgb="002E74B5"/>
      <sz val="10"/>
    </font>
    <font>
      <name val="Arial"/>
      <b val="1"/>
      <color rgb="001F3864"/>
    </font>
    <font>
      <name val="Arial"/>
      <b val="1"/>
      <color rgb="001E7145"/>
      <sz val="11"/>
    </font>
    <font>
      <name val="Arial"/>
      <b val="1"/>
      <color rgb="007A4B00"/>
      <sz val="11"/>
    </font>
    <font>
      <name val="Arial"/>
      <b val="1"/>
      <color rgb="007A4B00"/>
      <sz val="10"/>
    </font>
    <font>
      <name val="Arial"/>
      <b val="1"/>
      <color rgb="001F3864"/>
      <sz val="11"/>
    </font>
    <font>
      <name val="Arial"/>
      <b val="1"/>
      <color rgb="001F3864"/>
      <sz val="12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5F8FC"/>
      </patternFill>
    </fill>
    <fill>
      <patternFill patternType="solid">
        <fgColor rgb="00E2EFDA"/>
      </patternFill>
    </fill>
    <fill>
      <patternFill patternType="solid">
        <fgColor rgb="007A4B00"/>
      </patternFill>
    </fill>
    <fill>
      <patternFill patternType="solid">
        <fgColor rgb="00FFF2CC"/>
      </patternFill>
    </fill>
    <fill>
      <patternFill patternType="solid">
        <fgColor rgb="00EAF1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right" vertical="center" wrapText="1"/>
    </xf>
    <xf numFmtId="0" fontId="4" fillId="3" borderId="1" applyAlignment="1" pivotButton="0" quotePrefix="0" xfId="0">
      <alignment horizontal="right" vertical="center" wrapText="1"/>
    </xf>
    <xf numFmtId="0" fontId="5" fillId="3" borderId="1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right"/>
    </xf>
    <xf numFmtId="0" fontId="7" fillId="0" borderId="0" applyAlignment="1" pivotButton="0" quotePrefix="0" xfId="0">
      <alignment horizontal="right"/>
    </xf>
    <xf numFmtId="0" fontId="8" fillId="0" borderId="1" applyAlignment="1" pivotButton="0" quotePrefix="0" xfId="0">
      <alignment horizontal="right" vertical="center" wrapText="1"/>
    </xf>
    <xf numFmtId="0" fontId="9" fillId="0" borderId="1" applyAlignment="1" pivotButton="0" quotePrefix="0" xfId="0">
      <alignment horizontal="right" vertical="center" wrapText="1"/>
    </xf>
    <xf numFmtId="0" fontId="10" fillId="0" borderId="0" applyAlignment="1" pivotButton="0" quotePrefix="0" xfId="0">
      <alignment horizontal="right"/>
    </xf>
    <xf numFmtId="0" fontId="11" fillId="4" borderId="1" pivotButton="0" quotePrefix="0" xfId="0"/>
    <xf numFmtId="0" fontId="12" fillId="0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right" vertical="center" wrapText="1"/>
    </xf>
    <xf numFmtId="0" fontId="4" fillId="6" borderId="1" applyAlignment="1" pivotButton="0" quotePrefix="0" xfId="0">
      <alignment horizontal="right" vertical="center" wrapText="1"/>
    </xf>
    <xf numFmtId="0" fontId="14" fillId="0" borderId="0" applyAlignment="1" pivotButton="0" quotePrefix="0" xfId="0">
      <alignment horizontal="right"/>
    </xf>
    <xf numFmtId="0" fontId="15" fillId="7" borderId="1" pivotButton="0" quotePrefix="0" xfId="0"/>
    <xf numFmtId="0" fontId="15" fillId="0" borderId="0" applyAlignment="1" pivotButton="0" quotePrefix="0" xfId="0">
      <alignment horizontal="right" wrapText="1"/>
    </xf>
    <xf numFmtId="0" fontId="16" fillId="0" borderId="0" applyAlignment="1" pivotButton="0" quotePrefix="0" xfId="0">
      <alignment horizontal="righ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6" customWidth="1" min="3" max="3"/>
    <col width="10" customWidth="1" min="4" max="4"/>
    <col width="8" customWidth="1" min="5" max="5"/>
    <col width="10" customWidth="1" min="6" max="6"/>
    <col width="15" customWidth="1" min="7" max="7"/>
    <col width="26" customWidth="1" min="8" max="8"/>
  </cols>
  <sheetData>
    <row r="1">
      <c r="A1" s="1" t="inlineStr">
        <is>
          <t>كل الفواتير المرسلة إلى erihdev@gmail.com (آخر ~4 أشهر)</t>
        </is>
      </c>
    </row>
    <row r="2">
      <c r="A2" s="2" t="inlineStr">
        <is>
          <t>ملاحظة: الحساب المتصل هو erihdev@gmail.com (وهو مسؤول نطاق zyiarah.com، فتصله فواتير Workspace). المبالغ مستخرجة من نص الفواتير.</t>
        </is>
      </c>
    </row>
    <row r="4">
      <c r="A4" s="3" t="inlineStr">
        <is>
          <t>التاريخ</t>
        </is>
      </c>
      <c r="B4" s="3" t="inlineStr">
        <is>
          <t>المُرسِل / الجهة</t>
        </is>
      </c>
      <c r="C4" s="3" t="inlineStr">
        <is>
          <t>الخدمة / البند</t>
        </is>
      </c>
      <c r="D4" s="3" t="inlineStr">
        <is>
          <t>المبلغ</t>
        </is>
      </c>
      <c r="E4" s="3" t="inlineStr">
        <is>
          <t>العملة</t>
        </is>
      </c>
      <c r="F4" s="3" t="inlineStr">
        <is>
          <t>≈ ر.س.</t>
        </is>
      </c>
      <c r="G4" s="3" t="inlineStr">
        <is>
          <t>النوع</t>
        </is>
      </c>
      <c r="H4" s="3" t="inlineStr">
        <is>
          <t>ملاحظات</t>
        </is>
      </c>
    </row>
    <row r="5">
      <c r="A5" s="4" t="inlineStr">
        <is>
          <t>2026-07-01</t>
        </is>
      </c>
      <c r="B5" s="5" t="inlineStr">
        <is>
          <t>Apple</t>
        </is>
      </c>
      <c r="C5" s="4" t="inlineStr">
        <is>
          <t>Claude Pro (شهري)</t>
        </is>
      </c>
      <c r="D5" s="4" t="n">
        <v>89.98999999999999</v>
      </c>
      <c r="E5" s="4" t="inlineStr">
        <is>
          <t>SAR</t>
        </is>
      </c>
      <c r="F5" s="4" t="n">
        <v>89.98999999999999</v>
      </c>
      <c r="G5" s="4" t="inlineStr">
        <is>
          <t>اشتراك</t>
        </is>
      </c>
      <c r="H5" s="4" t="inlineStr">
        <is>
          <t>يتجدد 1 أغسطس</t>
        </is>
      </c>
    </row>
    <row r="6">
      <c r="A6" s="6" t="inlineStr">
        <is>
          <t>2026-06-24</t>
        </is>
      </c>
      <c r="B6" s="7" t="inlineStr">
        <is>
          <t>Paddle</t>
        </is>
      </c>
      <c r="C6" s="6" t="inlineStr">
        <is>
          <t>Cloud Starter</t>
        </is>
      </c>
      <c r="D6" s="6" t="n">
        <v>27.6</v>
      </c>
      <c r="E6" s="6" t="inlineStr">
        <is>
          <t>USD</t>
        </is>
      </c>
      <c r="F6" s="6" t="n">
        <v>103.5</v>
      </c>
      <c r="G6" s="6" t="inlineStr">
        <is>
          <t>اشتراك</t>
        </is>
      </c>
      <c r="H6" s="6" t="inlineStr">
        <is>
          <t>24$ + ض.ق.م 15%</t>
        </is>
      </c>
    </row>
    <row r="7">
      <c r="A7" s="4" t="inlineStr">
        <is>
          <t>2026-06-19</t>
        </is>
      </c>
      <c r="B7" s="5" t="inlineStr">
        <is>
          <t>Google Workspace</t>
        </is>
      </c>
      <c r="C7" s="4" t="inlineStr">
        <is>
          <t>نطاق zyiarah.com</t>
        </is>
      </c>
      <c r="D7" s="4" t="n">
        <v>66.02</v>
      </c>
      <c r="E7" s="4" t="inlineStr">
        <is>
          <t>EUR</t>
        </is>
      </c>
      <c r="F7" s="4" t="n">
        <v>267.38</v>
      </c>
      <c r="G7" s="4" t="inlineStr">
        <is>
          <t>اشتراك</t>
        </is>
      </c>
      <c r="H7" s="4" t="inlineStr">
        <is>
          <t>دفعة مستلمة</t>
        </is>
      </c>
    </row>
    <row r="8">
      <c r="A8" s="6" t="inlineStr">
        <is>
          <t>2026-07-02</t>
        </is>
      </c>
      <c r="B8" s="7" t="inlineStr">
        <is>
          <t>Google Workspace</t>
        </is>
      </c>
      <c r="C8" s="6" t="inlineStr">
        <is>
          <t>نطاق erihdev.com</t>
        </is>
      </c>
      <c r="D8" s="6" t="inlineStr"/>
      <c r="E8" s="6" t="inlineStr">
        <is>
          <t>EUR</t>
        </is>
      </c>
      <c r="F8" s="6" t="inlineStr"/>
      <c r="G8" s="6" t="inlineStr">
        <is>
          <t>اشتراك</t>
        </is>
      </c>
      <c r="H8" s="6" t="inlineStr">
        <is>
          <t>المبلغ في PDF — غير مؤكد</t>
        </is>
      </c>
    </row>
    <row r="9">
      <c r="A9" s="4" t="inlineStr">
        <is>
          <t>2026-06-05</t>
        </is>
      </c>
      <c r="B9" s="5" t="inlineStr">
        <is>
          <t>Anthropic</t>
        </is>
      </c>
      <c r="C9" s="4" t="inlineStr">
        <is>
          <t>Claude API (استخدام)</t>
        </is>
      </c>
      <c r="D9" s="4" t="n">
        <v>99.06</v>
      </c>
      <c r="E9" s="4" t="inlineStr">
        <is>
          <t>USD</t>
        </is>
      </c>
      <c r="F9" s="4" t="n">
        <v>371.48</v>
      </c>
      <c r="G9" s="4" t="inlineStr">
        <is>
          <t>استخدام متغيّر</t>
        </is>
      </c>
      <c r="H9" s="4" t="inlineStr">
        <is>
          <t>فاتورة API</t>
        </is>
      </c>
    </row>
    <row r="10">
      <c r="A10" s="6" t="inlineStr">
        <is>
          <t>2026-05-26</t>
        </is>
      </c>
      <c r="B10" s="7" t="inlineStr">
        <is>
          <t>Anthropic</t>
        </is>
      </c>
      <c r="C10" s="6" t="inlineStr">
        <is>
          <t>Claude API (استخدام)</t>
        </is>
      </c>
      <c r="D10" s="6" t="n">
        <v>23</v>
      </c>
      <c r="E10" s="6" t="inlineStr">
        <is>
          <t>USD</t>
        </is>
      </c>
      <c r="F10" s="6" t="n">
        <v>86.25</v>
      </c>
      <c r="G10" s="6" t="inlineStr">
        <is>
          <t>استخدام متغيّر</t>
        </is>
      </c>
      <c r="H10" s="6" t="inlineStr">
        <is>
          <t>فاتورة API</t>
        </is>
      </c>
    </row>
    <row r="11">
      <c r="A11" s="4" t="inlineStr">
        <is>
          <t>2026-05-15</t>
        </is>
      </c>
      <c r="B11" s="5" t="inlineStr">
        <is>
          <t>Anthropic</t>
        </is>
      </c>
      <c r="C11" s="4" t="inlineStr">
        <is>
          <t>Claude API (استخدام)</t>
        </is>
      </c>
      <c r="D11" s="4" t="n">
        <v>11.56</v>
      </c>
      <c r="E11" s="4" t="inlineStr">
        <is>
          <t>USD</t>
        </is>
      </c>
      <c r="F11" s="4" t="n">
        <v>43.35</v>
      </c>
      <c r="G11" s="4" t="inlineStr">
        <is>
          <t>استخدام متغيّر</t>
        </is>
      </c>
      <c r="H11" s="4" t="inlineStr">
        <is>
          <t>فاتورة API</t>
        </is>
      </c>
    </row>
    <row r="12">
      <c r="A12" s="6" t="inlineStr">
        <is>
          <t>...أبريل 2026</t>
        </is>
      </c>
      <c r="B12" s="7" t="inlineStr">
        <is>
          <t>Anthropic</t>
        </is>
      </c>
      <c r="C12" s="6" t="inlineStr">
        <is>
          <t>Claude API (عدة فواتير)</t>
        </is>
      </c>
      <c r="D12" s="6" t="inlineStr"/>
      <c r="E12" s="6" t="inlineStr">
        <is>
          <t>USD</t>
        </is>
      </c>
      <c r="F12" s="6" t="inlineStr"/>
      <c r="G12" s="6" t="inlineStr">
        <is>
          <t>استخدام متغيّر</t>
        </is>
      </c>
      <c r="H12" s="6" t="inlineStr">
        <is>
          <t>~20+ فاتورة صغيرة إضافية</t>
        </is>
      </c>
    </row>
    <row r="13">
      <c r="A13" s="4" t="inlineStr">
        <is>
          <t>2026-06-01</t>
        </is>
      </c>
      <c r="B13" s="5" t="inlineStr">
        <is>
          <t>Codemagic (Nevercode)</t>
        </is>
      </c>
      <c r="C13" s="4" t="inlineStr">
        <is>
          <t>CI/CD لتطبيق Zyiarah</t>
        </is>
      </c>
      <c r="D13" s="4" t="n">
        <v>10.69</v>
      </c>
      <c r="E13" s="4" t="inlineStr">
        <is>
          <t>USD</t>
        </is>
      </c>
      <c r="F13" s="4" t="n">
        <v>40.09</v>
      </c>
      <c r="G13" s="4" t="inlineStr">
        <is>
          <t>استخدام متغيّر</t>
        </is>
      </c>
      <c r="H13" s="4" t="inlineStr">
        <is>
          <t>عبر Stripe</t>
        </is>
      </c>
    </row>
    <row r="14">
      <c r="A14" s="6" t="inlineStr">
        <is>
          <t>2026-05-01</t>
        </is>
      </c>
      <c r="B14" s="7" t="inlineStr">
        <is>
          <t>Codemagic (Nevercode)</t>
        </is>
      </c>
      <c r="C14" s="6" t="inlineStr">
        <is>
          <t>CI/CD لتطبيق Zyiarah</t>
        </is>
      </c>
      <c r="D14" s="6" t="n">
        <v>5.04</v>
      </c>
      <c r="E14" s="6" t="inlineStr">
        <is>
          <t>USD</t>
        </is>
      </c>
      <c r="F14" s="6" t="n">
        <v>18.9</v>
      </c>
      <c r="G14" s="6" t="inlineStr">
        <is>
          <t>استخدام متغيّر</t>
        </is>
      </c>
      <c r="H14" s="6" t="inlineStr">
        <is>
          <t>عبر Stripe</t>
        </is>
      </c>
    </row>
    <row r="15">
      <c r="A15" s="4" t="inlineStr">
        <is>
          <t>2026-04-01</t>
        </is>
      </c>
      <c r="B15" s="5" t="inlineStr">
        <is>
          <t>Codemagic (Nevercode)</t>
        </is>
      </c>
      <c r="C15" s="4" t="inlineStr">
        <is>
          <t>CI/CD لتطبيق Zyiarah</t>
        </is>
      </c>
      <c r="D15" s="4" t="n">
        <v>7.41</v>
      </c>
      <c r="E15" s="4" t="inlineStr">
        <is>
          <t>USD</t>
        </is>
      </c>
      <c r="F15" s="4" t="n">
        <v>27.79</v>
      </c>
      <c r="G15" s="4" t="inlineStr">
        <is>
          <t>استخدام متغيّر</t>
        </is>
      </c>
      <c r="H15" s="4" t="inlineStr">
        <is>
          <t>عبر Stripe</t>
        </is>
      </c>
    </row>
    <row r="16">
      <c r="A16" s="6" t="inlineStr">
        <is>
          <t>2026-04-20</t>
        </is>
      </c>
      <c r="B16" s="7" t="inlineStr">
        <is>
          <t>Apple / GitHub</t>
        </is>
      </c>
      <c r="C16" s="6" t="inlineStr">
        <is>
          <t>GitHub Copilot Pro (شهري)</t>
        </is>
      </c>
      <c r="D16" s="6" t="n">
        <v>39.99</v>
      </c>
      <c r="E16" s="6" t="inlineStr">
        <is>
          <t>SAR</t>
        </is>
      </c>
      <c r="F16" s="6" t="n">
        <v>39.99</v>
      </c>
      <c r="G16" s="6" t="inlineStr">
        <is>
          <t>اشتراك</t>
        </is>
      </c>
      <c r="H16" s="6" t="inlineStr">
        <is>
          <t>يتجدد شهريًا</t>
        </is>
      </c>
    </row>
    <row r="17">
      <c r="A17" s="4" t="inlineStr">
        <is>
          <t>2026-03-26</t>
        </is>
      </c>
      <c r="B17" s="5" t="inlineStr">
        <is>
          <t>Google Play</t>
        </is>
      </c>
      <c r="C17" s="4" t="inlineStr">
        <is>
          <t>Google AI Pro / One 5TB (شهري)</t>
        </is>
      </c>
      <c r="D17" s="4" t="n">
        <v>85.98999999999999</v>
      </c>
      <c r="E17" s="4" t="inlineStr">
        <is>
          <t>SAR</t>
        </is>
      </c>
      <c r="F17" s="4" t="n">
        <v>85.98999999999999</v>
      </c>
      <c r="G17" s="4" t="inlineStr">
        <is>
          <t>اشتراك</t>
        </is>
      </c>
      <c r="H17" s="4" t="inlineStr">
        <is>
          <t>بعد الفترة التجريبية</t>
        </is>
      </c>
    </row>
    <row r="18">
      <c r="A18" s="6" t="inlineStr">
        <is>
          <t>2026-06-12</t>
        </is>
      </c>
      <c r="B18" s="7" t="inlineStr">
        <is>
          <t>Apple / Mezan ميزان</t>
        </is>
      </c>
      <c r="C18" s="6" t="inlineStr">
        <is>
          <t>محلل الوجبات الذكي (سنوي)</t>
        </is>
      </c>
      <c r="D18" s="6" t="n">
        <v>89.98999999999999</v>
      </c>
      <c r="E18" s="6" t="inlineStr">
        <is>
          <t>SAR</t>
        </is>
      </c>
      <c r="F18" s="6" t="n">
        <v>89.98999999999999</v>
      </c>
      <c r="G18" s="6" t="inlineStr">
        <is>
          <t>اشتراك سنوي</t>
        </is>
      </c>
      <c r="H18" s="6" t="inlineStr">
        <is>
          <t>تجربة 3 أيام</t>
        </is>
      </c>
    </row>
    <row r="19">
      <c r="A19" s="4" t="inlineStr">
        <is>
          <t>2026-06-04</t>
        </is>
      </c>
      <c r="B19" s="5" t="inlineStr">
        <is>
          <t>Apple / Gym Workout</t>
        </is>
      </c>
      <c r="C19" s="4" t="inlineStr">
        <is>
          <t>Premium Yearly (سنوي)</t>
        </is>
      </c>
      <c r="D19" s="4" t="n">
        <v>129.99</v>
      </c>
      <c r="E19" s="4" t="inlineStr">
        <is>
          <t>SAR</t>
        </is>
      </c>
      <c r="F19" s="4" t="n">
        <v>129.99</v>
      </c>
      <c r="G19" s="4" t="inlineStr">
        <is>
          <t>اشتراك سنوي</t>
        </is>
      </c>
      <c r="H19" s="4" t="inlineStr">
        <is>
          <t>تجربة أسبوع</t>
        </is>
      </c>
    </row>
    <row r="20">
      <c r="A20" s="6" t="inlineStr">
        <is>
          <t>2026-05-24</t>
        </is>
      </c>
      <c r="B20" s="7" t="inlineStr">
        <is>
          <t>Skool</t>
        </is>
      </c>
      <c r="C20" s="6" t="inlineStr">
        <is>
          <t>Amir Discovers AI (عضوية)</t>
        </is>
      </c>
      <c r="D20" s="6" t="n">
        <v>57</v>
      </c>
      <c r="E20" s="6" t="inlineStr">
        <is>
          <t>USD</t>
        </is>
      </c>
      <c r="F20" s="6" t="n">
        <v>213.75</v>
      </c>
      <c r="G20" s="6" t="inlineStr">
        <is>
          <t>عضوية</t>
        </is>
      </c>
      <c r="H20" s="6" t="inlineStr">
        <is>
          <t>Google Pay</t>
        </is>
      </c>
    </row>
    <row r="21">
      <c r="A21" s="4" t="inlineStr">
        <is>
          <t>2026-03-26</t>
        </is>
      </c>
      <c r="B21" s="5" t="inlineStr">
        <is>
          <t>Google Play</t>
        </is>
      </c>
      <c r="C21" s="4" t="inlineStr">
        <is>
          <t>2500 AI Credits (One)</t>
        </is>
      </c>
      <c r="D21" s="4" t="n">
        <v>109.99</v>
      </c>
      <c r="E21" s="4" t="inlineStr">
        <is>
          <t>SAR</t>
        </is>
      </c>
      <c r="F21" s="4" t="n">
        <v>109.99</v>
      </c>
      <c r="G21" s="4" t="inlineStr">
        <is>
          <t>شراء</t>
        </is>
      </c>
      <c r="H21" s="4" t="inlineStr">
        <is>
          <t>تم استرداده لاحقًا</t>
        </is>
      </c>
    </row>
    <row r="22">
      <c r="A22" s="6" t="inlineStr">
        <is>
          <t>2026-04-27</t>
        </is>
      </c>
      <c r="B22" s="7" t="inlineStr">
        <is>
          <t>Slack</t>
        </is>
      </c>
      <c r="C22" s="6" t="inlineStr">
        <is>
          <t>Slack Pro (تجربة مجانية)</t>
        </is>
      </c>
      <c r="D22" s="6" t="n">
        <v>0</v>
      </c>
      <c r="E22" s="6" t="inlineStr">
        <is>
          <t>USD</t>
        </is>
      </c>
      <c r="F22" s="6" t="n">
        <v>0</v>
      </c>
      <c r="G22" s="6" t="inlineStr">
        <is>
          <t>تجربة</t>
        </is>
      </c>
      <c r="H22" s="6" t="inlineStr">
        <is>
          <t>لم يتم التحصيل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rightToLeft="1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14" customWidth="1" min="3" max="3"/>
    <col width="10" customWidth="1" min="4" max="4"/>
    <col width="14" customWidth="1" min="5" max="5"/>
    <col width="16" customWidth="1" min="6" max="6"/>
  </cols>
  <sheetData>
    <row r="1">
      <c r="A1" s="1" t="inlineStr">
        <is>
          <t>ملخّص التكاليف — الاشتراكات المتكررة</t>
        </is>
      </c>
    </row>
    <row r="2">
      <c r="E2" s="8" t="inlineStr">
        <is>
          <t>USD→SAR</t>
        </is>
      </c>
      <c r="F2" s="9" t="n">
        <v>3.75</v>
      </c>
    </row>
    <row r="3">
      <c r="E3" s="8" t="inlineStr">
        <is>
          <t>EUR→SAR</t>
        </is>
      </c>
      <c r="F3" s="9" t="n">
        <v>4.05</v>
      </c>
    </row>
    <row r="5">
      <c r="A5" s="3" t="inlineStr">
        <is>
          <t>الخدمة</t>
        </is>
      </c>
      <c r="B5" s="3" t="inlineStr">
        <is>
          <t>الدورة</t>
        </is>
      </c>
      <c r="C5" s="3" t="inlineStr">
        <is>
          <t>المبلغ الأصلي</t>
        </is>
      </c>
      <c r="D5" s="3" t="inlineStr">
        <is>
          <t>العملة</t>
        </is>
      </c>
      <c r="E5" s="3" t="inlineStr">
        <is>
          <t>شهري (ر.س.)</t>
        </is>
      </c>
      <c r="F5" s="3" t="inlineStr">
        <is>
          <t>سنوي (ر.س.)</t>
        </is>
      </c>
    </row>
    <row r="6">
      <c r="A6" s="5" t="inlineStr">
        <is>
          <t>Claude Pro (Apple)</t>
        </is>
      </c>
      <c r="B6" s="4" t="inlineStr">
        <is>
          <t>شهري</t>
        </is>
      </c>
      <c r="C6" s="4" t="n">
        <v>89.98999999999999</v>
      </c>
      <c r="D6" s="4" t="inlineStr">
        <is>
          <t>SAR</t>
        </is>
      </c>
      <c r="E6" s="10" t="n">
        <v>89.98999999999999</v>
      </c>
      <c r="F6" s="11" t="n">
        <v>1079.88</v>
      </c>
    </row>
    <row r="7">
      <c r="A7" s="5" t="inlineStr">
        <is>
          <t>GitHub Copilot Pro</t>
        </is>
      </c>
      <c r="B7" s="4" t="inlineStr">
        <is>
          <t>شهري</t>
        </is>
      </c>
      <c r="C7" s="4" t="n">
        <v>39.99</v>
      </c>
      <c r="D7" s="4" t="inlineStr">
        <is>
          <t>SAR</t>
        </is>
      </c>
      <c r="E7" s="10" t="n">
        <v>39.99</v>
      </c>
      <c r="F7" s="11" t="n">
        <v>479.88</v>
      </c>
    </row>
    <row r="8">
      <c r="A8" s="5" t="inlineStr">
        <is>
          <t>Google AI Pro / One 5TB</t>
        </is>
      </c>
      <c r="B8" s="4" t="inlineStr">
        <is>
          <t>شهري</t>
        </is>
      </c>
      <c r="C8" s="4" t="n">
        <v>85.98999999999999</v>
      </c>
      <c r="D8" s="4" t="inlineStr">
        <is>
          <t>SAR</t>
        </is>
      </c>
      <c r="E8" s="10" t="n">
        <v>85.98999999999999</v>
      </c>
      <c r="F8" s="11" t="n">
        <v>1031.88</v>
      </c>
    </row>
    <row r="9">
      <c r="A9" s="5" t="inlineStr">
        <is>
          <t>Paddle — Cloud Starter</t>
        </is>
      </c>
      <c r="B9" s="4" t="inlineStr">
        <is>
          <t>شهري</t>
        </is>
      </c>
      <c r="C9" s="4" t="n">
        <v>27.6</v>
      </c>
      <c r="D9" s="4" t="inlineStr">
        <is>
          <t>USD</t>
        </is>
      </c>
      <c r="E9" s="10" t="n">
        <v>103.5</v>
      </c>
      <c r="F9" s="11" t="n">
        <v>1242</v>
      </c>
    </row>
    <row r="10">
      <c r="A10" s="5" t="inlineStr">
        <is>
          <t>Google Workspace — zyiarah.com</t>
        </is>
      </c>
      <c r="B10" s="4" t="inlineStr">
        <is>
          <t>شهري</t>
        </is>
      </c>
      <c r="C10" s="4" t="n">
        <v>66.02</v>
      </c>
      <c r="D10" s="4" t="inlineStr">
        <is>
          <t>EUR</t>
        </is>
      </c>
      <c r="E10" s="10" t="n">
        <v>267.38</v>
      </c>
      <c r="F10" s="11" t="n">
        <v>3208.56</v>
      </c>
    </row>
    <row r="11">
      <c r="A11" s="5" t="inlineStr">
        <is>
          <t>Mezan ميزان</t>
        </is>
      </c>
      <c r="B11" s="4" t="inlineStr">
        <is>
          <t>سنوي</t>
        </is>
      </c>
      <c r="C11" s="4" t="n">
        <v>89.98999999999999</v>
      </c>
      <c r="D11" s="4" t="inlineStr">
        <is>
          <t>SAR</t>
        </is>
      </c>
      <c r="E11" s="10" t="n">
        <v>7.5</v>
      </c>
      <c r="F11" s="11" t="n">
        <v>89.98999999999999</v>
      </c>
    </row>
    <row r="12">
      <c r="A12" s="5" t="inlineStr">
        <is>
          <t>Gym Workout Planner</t>
        </is>
      </c>
      <c r="B12" s="4" t="inlineStr">
        <is>
          <t>سنوي</t>
        </is>
      </c>
      <c r="C12" s="4" t="n">
        <v>129.99</v>
      </c>
      <c r="D12" s="4" t="inlineStr">
        <is>
          <t>SAR</t>
        </is>
      </c>
      <c r="E12" s="10" t="n">
        <v>10.83</v>
      </c>
      <c r="F12" s="11" t="n">
        <v>129.99</v>
      </c>
    </row>
    <row r="13">
      <c r="D13" s="12" t="inlineStr">
        <is>
          <t>إجمالي المؤكد الثابت</t>
        </is>
      </c>
      <c r="E13" s="13">
        <f>SUM(E6:E12)</f>
        <v/>
      </c>
      <c r="F13" s="13">
        <f>SUM(F6:F12)</f>
        <v/>
      </c>
    </row>
    <row r="15">
      <c r="A15" s="14" t="inlineStr">
        <is>
          <t>بنود متغيّرة (حسب الاستخدام) — غير مضمّنة في الإجمالي أعلاه</t>
        </is>
      </c>
    </row>
    <row r="16">
      <c r="A16" s="15" t="inlineStr">
        <is>
          <t>البند</t>
        </is>
      </c>
      <c r="B16" s="15" t="inlineStr">
        <is>
          <t>آخر شهر مؤكد</t>
        </is>
      </c>
      <c r="C16" s="15" t="inlineStr">
        <is>
          <t>العملة</t>
        </is>
      </c>
      <c r="D16" s="15" t="inlineStr">
        <is>
          <t>≈ ر.س.</t>
        </is>
      </c>
      <c r="E16" s="15" t="inlineStr">
        <is>
          <t>المدى الأخير</t>
        </is>
      </c>
      <c r="F16" s="15" t="inlineStr"/>
    </row>
    <row r="17">
      <c r="A17" s="16" t="inlineStr">
        <is>
          <t>Anthropic — Claude API</t>
        </is>
      </c>
      <c r="B17" s="17" t="inlineStr">
        <is>
          <t>2026-06 = $99.06</t>
        </is>
      </c>
      <c r="C17" s="17" t="inlineStr">
        <is>
          <t>USD</t>
        </is>
      </c>
      <c r="D17" s="17" t="n">
        <v>371.48</v>
      </c>
      <c r="E17" s="17" t="inlineStr">
        <is>
          <t>من ~$12 إلى ~$99+ شهريًا</t>
        </is>
      </c>
      <c r="F17" s="17" t="inlineStr"/>
    </row>
    <row r="18">
      <c r="A18" s="16" t="inlineStr">
        <is>
          <t>Codemagic — CI/CD</t>
        </is>
      </c>
      <c r="B18" s="17" t="inlineStr">
        <is>
          <t>2026-06 = $10.69</t>
        </is>
      </c>
      <c r="C18" s="17" t="inlineStr">
        <is>
          <t>USD</t>
        </is>
      </c>
      <c r="D18" s="17" t="n">
        <v>40.09</v>
      </c>
      <c r="E18" s="17" t="inlineStr">
        <is>
          <t>~$5 إلى ~$11 شهريًا</t>
        </is>
      </c>
      <c r="F18" s="17" t="inlineStr"/>
    </row>
    <row r="19">
      <c r="A19" s="16" t="inlineStr">
        <is>
          <t>Google Workspace erihdev.com</t>
        </is>
      </c>
      <c r="B19" s="17" t="inlineStr">
        <is>
          <t>غير مؤكد (PDF)</t>
        </is>
      </c>
      <c r="C19" s="17" t="inlineStr">
        <is>
          <t>EUR</t>
        </is>
      </c>
      <c r="D19" s="17" t="inlineStr">
        <is>
          <t>—</t>
        </is>
      </c>
      <c r="E19" s="17" t="inlineStr">
        <is>
          <t>فاتورة شهرية منفصلة</t>
        </is>
      </c>
      <c r="F19" s="17" t="inlineStr"/>
    </row>
    <row r="20">
      <c r="A20" s="16" t="inlineStr">
        <is>
          <t>Skool — Amir Discovers AI</t>
        </is>
      </c>
      <c r="B20" s="17" t="inlineStr">
        <is>
          <t>$57.00</t>
        </is>
      </c>
      <c r="C20" s="17" t="inlineStr">
        <is>
          <t>USD</t>
        </is>
      </c>
      <c r="D20" s="17" t="n">
        <v>213.75</v>
      </c>
      <c r="E20" s="17" t="inlineStr">
        <is>
          <t>عضوية (تحقّق إن كانت متكررة)</t>
        </is>
      </c>
      <c r="F20" s="17" t="inlineStr"/>
    </row>
    <row r="22">
      <c r="A22" s="18" t="inlineStr">
        <is>
          <t>تقدير شهري شامل (المؤكد + آخر قيم متغيّرة):</t>
        </is>
      </c>
      <c r="E22" s="19">
        <f>E13+371.48+40.09+213.75</f>
        <v/>
      </c>
    </row>
    <row r="23">
      <c r="A23" s="18" t="inlineStr">
        <is>
          <t>تقدير سنوي شامل تقريبي:</t>
        </is>
      </c>
      <c r="F23" s="19">
        <f>F13+(371.48+40.09)*12+213.75*12</f>
        <v/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rightToLeft="1"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20" t="inlineStr">
        <is>
          <t>ملاحظات ومنهجية</t>
        </is>
      </c>
    </row>
    <row r="2">
      <c r="A2" s="21" t="inlineStr"/>
    </row>
    <row r="3">
      <c r="A3" s="21" t="inlineStr">
        <is>
          <t>• الحساب المتصل والمصدر: erihdev@gmail.com (وهو مسؤول Google Workspace لنطاق zyiarah.com، لذلك تصل فواتير النطاق إليه).</t>
        </is>
      </c>
    </row>
    <row r="4">
      <c r="A4" s="21" t="inlineStr">
        <is>
          <t>• لم يظهر صندوق admin@zyiarah.com كصندوق منفصل؛ إن كان له فواتير خاصة لا تُحوّل هنا، اربطه بشكل مستقل.</t>
        </is>
      </c>
    </row>
    <row r="5">
      <c r="A5" s="21" t="inlineStr">
        <is>
          <t>• المبالغ الثابتة (Claude Pro, Copilot, Google One, Workspace, Mezan, Gym) مؤكدة من نص الفواتير.</t>
        </is>
      </c>
    </row>
    <row r="6">
      <c r="A6" s="21" t="inlineStr">
        <is>
          <t>• البنود المتغيّرة (Anthropic API, Codemagic) تعتمد على الاستخدام وتختلف شهريًا — عُرضت آخر القيم المؤكدة.</t>
        </is>
      </c>
    </row>
    <row r="7">
      <c r="A7" s="21" t="inlineStr">
        <is>
          <t>• Anthropic API: رُصدت عشرات الفواتير الصغيرة في أبريل 2026 (دفعات تلقائية للرصيد) — الإجمالي الحقيقي قد يكون أعلى.</t>
        </is>
      </c>
    </row>
    <row r="8">
      <c r="A8" s="21" t="inlineStr">
        <is>
          <t>• Google Workspace erihdev.com: المبلغ داخل ملف PDF مرفق ولم يُقرأ؛ راجعه من الفاتورة مباشرة.</t>
        </is>
      </c>
    </row>
    <row r="9">
      <c r="A9" s="21" t="inlineStr">
        <is>
          <t>• Skool (Amir Discovers AI $57): تحقّق إن كانت عضوية شهرية متكررة أم دفعة واحدة.</t>
        </is>
      </c>
    </row>
    <row r="10">
      <c r="A10" s="21" t="inlineStr">
        <is>
          <t>• Slack Pro: تجربة مجانية فقط (لم يتم تحصيل).</t>
        </is>
      </c>
    </row>
    <row r="11">
      <c r="A11" s="21" t="inlineStr">
        <is>
          <t>• أسعار الصرف المستخدمة: USD→SAR = 3.75 و EUR→SAR = 4.05 (قابلة للتعديل في ورقة التكاليف).</t>
        </is>
      </c>
    </row>
    <row r="12">
      <c r="A12" s="21" t="inlineStr">
        <is>
          <t>• فواتير Apple المتعددة ("إيصالك من Apple") تجمع اشتراكات آبل أعلاه (Claude/Copilot/Mezan/Gym).</t>
        </is>
      </c>
    </row>
    <row r="13">
      <c r="A13" s="21" t="inlineStr">
        <is>
          <t>• طلبات Fordeal وApple Store وPod Runner ليست اشتراكات متكررة (مشتريات/نقاط).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2026-07-14T16:57:40Z</dcterms:created>
  <dcterms:modified xmlns:dcterms="http://purl.org/dc/terms/" xmlns:xsi="http://www.w3.org/2001/XMLSchema-instance" xsi:type="dcterms:W3CDTF">2026-07-14T16:57:40Z</dcterms:modified>
</cp:coreProperties>
</file>